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'konlar Qarz Hisob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18.83203125" customWidth="1"/>
    <col min="5" max="5" width="30.83203125" customWidth="1"/>
    <col min="6" max="6" width="24.83203125" customWidth="1"/>
    <col min="7" max="7" width="22.83203125" customWidth="1"/>
    <col min="8" max="8" width="22.83203125" customWidth="1"/>
    <col min="9" max="9" width="20.83203125" customWidth="1"/>
    <col min="10" max="10" width="18.83203125" customWidth="1"/>
    <col min="11" max="11" width="14.83203125" customWidth="1"/>
    <col min="12" max="12" width="35.83203125" customWidth="1"/>
  </cols>
  <sheetData>
    <row r="1">
      <c r="A1" t="str">
        <v>№</v>
      </c>
      <c r="B1" t="str">
        <v>Do'kon Nomi</v>
      </c>
      <c r="C1" t="str">
        <v>Mas'ul Shaxs</v>
      </c>
      <c r="D1" t="str">
        <v>Telefon</v>
      </c>
      <c r="E1" t="str">
        <v>Manzil</v>
      </c>
      <c r="F1" t="str">
        <v>Boshlang'ich Qarz (so'm)</v>
      </c>
      <c r="G1" t="str">
        <v>Berilgan Tovar (so'm)</v>
      </c>
      <c r="H1" t="str">
        <v>To'langan Summa (so'm)</v>
      </c>
      <c r="I1" t="str">
        <v>Qoldiq Qarz (so'm)</v>
      </c>
      <c r="J1" t="str">
        <v>To'lov Holati</v>
      </c>
      <c r="K1" t="str">
        <v>Oxirgi Sana</v>
      </c>
      <c r="L1" t="str">
        <v>Eslatma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>
        <v>0</v>
      </c>
      <c r="G2">
        <v>0</v>
      </c>
      <c r="H2">
        <v>0</v>
      </c>
      <c r="I2">
        <f>F2+G2-H2</f>
      </c>
      <c r="J2">
        <f>IF(B2="","",IF(I2&lt;=0,"To'langan",IF(H2&gt;0,"Qisman to'langan","Qarzdor")))</f>
      </c>
      <c r="K2" t="str">
        <v/>
      </c>
      <c r="L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>
        <v>0</v>
      </c>
      <c r="G3">
        <v>0</v>
      </c>
      <c r="H3">
        <v>0</v>
      </c>
      <c r="I3">
        <f>F3+G3-H3</f>
      </c>
      <c r="J3">
        <f>IF(B3="","",IF(I3&lt;=0,"To'langan",IF(H3&gt;0,"Qisman to'langan","Qarzdor")))</f>
      </c>
      <c r="K3" t="str">
        <v/>
      </c>
      <c r="L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>
        <v>0</v>
      </c>
      <c r="G4">
        <v>0</v>
      </c>
      <c r="H4">
        <v>0</v>
      </c>
      <c r="I4">
        <f>F4+G4-H4</f>
      </c>
      <c r="J4">
        <f>IF(B4="","",IF(I4&lt;=0,"To'langan",IF(H4&gt;0,"Qisman to'langan","Qarzdor")))</f>
      </c>
      <c r="K4" t="str">
        <v/>
      </c>
      <c r="L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>
        <v>0</v>
      </c>
      <c r="G5">
        <v>0</v>
      </c>
      <c r="H5">
        <v>0</v>
      </c>
      <c r="I5">
        <f>F5+G5-H5</f>
      </c>
      <c r="J5">
        <f>IF(B5="","",IF(I5&lt;=0,"To'langan",IF(H5&gt;0,"Qisman to'langan","Qarzdor")))</f>
      </c>
      <c r="K5" t="str">
        <v/>
      </c>
      <c r="L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>
        <v>0</v>
      </c>
      <c r="G6">
        <v>0</v>
      </c>
      <c r="H6">
        <v>0</v>
      </c>
      <c r="I6">
        <f>F6+G6-H6</f>
      </c>
      <c r="J6">
        <f>IF(B6="","",IF(I6&lt;=0,"To'langan",IF(H6&gt;0,"Qisman to'langan","Qarzdor")))</f>
      </c>
      <c r="K6" t="str">
        <v/>
      </c>
      <c r="L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>
        <v>0</v>
      </c>
      <c r="G7">
        <v>0</v>
      </c>
      <c r="H7">
        <v>0</v>
      </c>
      <c r="I7">
        <f>F7+G7-H7</f>
      </c>
      <c r="J7">
        <f>IF(B7="","",IF(I7&lt;=0,"To'langan",IF(H7&gt;0,"Qisman to'langan","Qarzdor")))</f>
      </c>
      <c r="K7" t="str">
        <v/>
      </c>
      <c r="L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>
        <v>0</v>
      </c>
      <c r="G8">
        <v>0</v>
      </c>
      <c r="H8">
        <v>0</v>
      </c>
      <c r="I8">
        <f>F8+G8-H8</f>
      </c>
      <c r="J8">
        <f>IF(B8="","",IF(I8&lt;=0,"To'langan",IF(H8&gt;0,"Qisman to'langan","Qarzdor")))</f>
      </c>
      <c r="K8" t="str">
        <v/>
      </c>
      <c r="L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>
        <v>0</v>
      </c>
      <c r="G9">
        <v>0</v>
      </c>
      <c r="H9">
        <v>0</v>
      </c>
      <c r="I9">
        <f>F9+G9-H9</f>
      </c>
      <c r="J9">
        <f>IF(B9="","",IF(I9&lt;=0,"To'langan",IF(H9&gt;0,"Qisman to'langan","Qarzdor")))</f>
      </c>
      <c r="K9" t="str">
        <v/>
      </c>
      <c r="L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>
        <v>0</v>
      </c>
      <c r="G10">
        <v>0</v>
      </c>
      <c r="H10">
        <v>0</v>
      </c>
      <c r="I10">
        <f>F10+G10-H10</f>
      </c>
      <c r="J10">
        <f>IF(B10="","",IF(I10&lt;=0,"To'langan",IF(H10&gt;0,"Qisman to'langan","Qarzdor")))</f>
      </c>
      <c r="K10" t="str">
        <v/>
      </c>
      <c r="L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>
        <v>0</v>
      </c>
      <c r="G11">
        <v>0</v>
      </c>
      <c r="H11">
        <v>0</v>
      </c>
      <c r="I11">
        <f>F11+G11-H11</f>
      </c>
      <c r="J11">
        <f>IF(B11="","",IF(I11&lt;=0,"To'langan",IF(H11&gt;0,"Qisman to'langan","Qarzdor")))</f>
      </c>
      <c r="K11" t="str">
        <v/>
      </c>
      <c r="L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>
        <v>0</v>
      </c>
      <c r="G12">
        <v>0</v>
      </c>
      <c r="H12">
        <v>0</v>
      </c>
      <c r="I12">
        <f>F12+G12-H12</f>
      </c>
      <c r="J12">
        <f>IF(B12="","",IF(I12&lt;=0,"To'langan",IF(H12&gt;0,"Qisman to'langan","Qarzdor")))</f>
      </c>
      <c r="K12" t="str">
        <v/>
      </c>
      <c r="L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>
        <v>0</v>
      </c>
      <c r="G13">
        <v>0</v>
      </c>
      <c r="H13">
        <v>0</v>
      </c>
      <c r="I13">
        <f>F13+G13-H13</f>
      </c>
      <c r="J13">
        <f>IF(B13="","",IF(I13&lt;=0,"To'langan",IF(H13&gt;0,"Qisman to'langan","Qarzdor")))</f>
      </c>
      <c r="K13" t="str">
        <v/>
      </c>
      <c r="L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>
        <v>0</v>
      </c>
      <c r="G14">
        <v>0</v>
      </c>
      <c r="H14">
        <v>0</v>
      </c>
      <c r="I14">
        <f>F14+G14-H14</f>
      </c>
      <c r="J14">
        <f>IF(B14="","",IF(I14&lt;=0,"To'langan",IF(H14&gt;0,"Qisman to'langan","Qarzdor")))</f>
      </c>
      <c r="K14" t="str">
        <v/>
      </c>
      <c r="L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>
        <v>0</v>
      </c>
      <c r="G15">
        <v>0</v>
      </c>
      <c r="H15">
        <v>0</v>
      </c>
      <c r="I15">
        <f>F15+G15-H15</f>
      </c>
      <c r="J15">
        <f>IF(B15="","",IF(I15&lt;=0,"To'langan",IF(H15&gt;0,"Qisman to'langan","Qarzdor")))</f>
      </c>
      <c r="K15" t="str">
        <v/>
      </c>
      <c r="L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>
        <v>0</v>
      </c>
      <c r="G16">
        <v>0</v>
      </c>
      <c r="H16">
        <v>0</v>
      </c>
      <c r="I16">
        <f>F16+G16-H16</f>
      </c>
      <c r="J16">
        <f>IF(B16="","",IF(I16&lt;=0,"To'langan",IF(H16&gt;0,"Qisman to'langan","Qarzdor")))</f>
      </c>
      <c r="K16" t="str">
        <v/>
      </c>
      <c r="L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>
        <v>0</v>
      </c>
      <c r="G17">
        <v>0</v>
      </c>
      <c r="H17">
        <v>0</v>
      </c>
      <c r="I17">
        <f>F17+G17-H17</f>
      </c>
      <c r="J17">
        <f>IF(B17="","",IF(I17&lt;=0,"To'langan",IF(H17&gt;0,"Qisman to'langan","Qarzdor")))</f>
      </c>
      <c r="K17" t="str">
        <v/>
      </c>
      <c r="L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>
        <v>0</v>
      </c>
      <c r="G18">
        <v>0</v>
      </c>
      <c r="H18">
        <v>0</v>
      </c>
      <c r="I18">
        <f>F18+G18-H18</f>
      </c>
      <c r="J18">
        <f>IF(B18="","",IF(I18&lt;=0,"To'langan",IF(H18&gt;0,"Qisman to'langan","Qarzdor")))</f>
      </c>
      <c r="K18" t="str">
        <v/>
      </c>
      <c r="L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  <c r="F19">
        <v>0</v>
      </c>
      <c r="G19">
        <v>0</v>
      </c>
      <c r="H19">
        <v>0</v>
      </c>
      <c r="I19">
        <f>F19+G19-H19</f>
      </c>
      <c r="J19">
        <f>IF(B19="","",IF(I19&lt;=0,"To'langan",IF(H19&gt;0,"Qisman to'langan","Qarzdor")))</f>
      </c>
      <c r="K19" t="str">
        <v/>
      </c>
      <c r="L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  <c r="F20">
        <v>0</v>
      </c>
      <c r="G20">
        <v>0</v>
      </c>
      <c r="H20">
        <v>0</v>
      </c>
      <c r="I20">
        <f>F20+G20-H20</f>
      </c>
      <c r="J20">
        <f>IF(B20="","",IF(I20&lt;=0,"To'langan",IF(H20&gt;0,"Qisman to'langan","Qarzdor")))</f>
      </c>
      <c r="K20" t="str">
        <v/>
      </c>
      <c r="L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  <c r="F21">
        <v>0</v>
      </c>
      <c r="G21">
        <v>0</v>
      </c>
      <c r="H21">
        <v>0</v>
      </c>
      <c r="I21">
        <f>F21+G21-H21</f>
      </c>
      <c r="J21">
        <f>IF(B21="","",IF(I21&lt;=0,"To'langan",IF(H21&gt;0,"Qisman to'langan","Qarzdor")))</f>
      </c>
      <c r="K21" t="str">
        <v/>
      </c>
      <c r="L21" t="str">
        <v/>
      </c>
    </row>
    <row r="22">
      <c r="A22" t="str">
        <v>JAMI:</v>
      </c>
      <c r="B22" t="str">
        <v/>
      </c>
      <c r="C22" t="str">
        <v/>
      </c>
      <c r="D22" t="str">
        <v/>
      </c>
      <c r="E22" t="str">
        <v/>
      </c>
      <c r="F22">
        <f>SUM(F2:F21)</f>
      </c>
      <c r="G22">
        <f>SUM(G2:G21)</f>
      </c>
      <c r="H22">
        <f>SUM(H2:H21)</f>
      </c>
      <c r="I22">
        <f>SUM(I2:I21)</f>
      </c>
      <c r="J22" t="str">
        <v/>
      </c>
      <c r="K22" t="str">
        <v/>
      </c>
      <c r="L22" t="str">
        <v/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Do'konlar Qarz Hisobi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